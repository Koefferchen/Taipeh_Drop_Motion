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PET_2-12ul_04mm\"/>
    </mc:Choice>
  </mc:AlternateContent>
  <xr:revisionPtr revIDLastSave="0" documentId="13_ncr:1_{93C32CA3-140C-477E-A4D2-A2571A87423F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Tabelle1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E6" i="2" s="1"/>
  <c r="D7" i="2"/>
  <c r="D8" i="2"/>
  <c r="D9" i="2"/>
  <c r="D10" i="2"/>
  <c r="D11" i="2"/>
  <c r="D12" i="2"/>
  <c r="D13" i="2"/>
  <c r="D14" i="2"/>
  <c r="E14" i="2" s="1"/>
  <c r="D15" i="2"/>
  <c r="D16" i="2"/>
  <c r="D17" i="2"/>
  <c r="E17" i="2" s="1"/>
  <c r="D18" i="2"/>
  <c r="E18" i="2" s="1"/>
  <c r="D19" i="2"/>
  <c r="D20" i="2"/>
  <c r="D21" i="2"/>
  <c r="D22" i="2"/>
  <c r="D23" i="2"/>
  <c r="D24" i="2"/>
  <c r="D25" i="2"/>
  <c r="D26" i="2"/>
  <c r="D27" i="2"/>
  <c r="D28" i="2"/>
  <c r="D29" i="2"/>
  <c r="E29" i="2" s="1"/>
  <c r="D30" i="2"/>
  <c r="E30" i="2" s="1"/>
  <c r="D31" i="2"/>
  <c r="D32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3" i="2"/>
  <c r="E4" i="2"/>
  <c r="E5" i="2"/>
  <c r="E7" i="2"/>
  <c r="E8" i="2"/>
  <c r="E9" i="2"/>
  <c r="E10" i="2"/>
  <c r="E11" i="2"/>
  <c r="E12" i="2"/>
  <c r="E13" i="2"/>
  <c r="E15" i="2"/>
  <c r="E16" i="2"/>
  <c r="E19" i="2"/>
  <c r="E20" i="2"/>
  <c r="E21" i="2"/>
  <c r="E22" i="2"/>
  <c r="E23" i="2"/>
  <c r="E24" i="2"/>
  <c r="E25" i="2"/>
  <c r="E26" i="2"/>
  <c r="E27" i="2"/>
  <c r="E28" i="2"/>
  <c r="E31" i="2"/>
  <c r="E32" i="2"/>
</calcChain>
</file>

<file path=xl/sharedStrings.xml><?xml version="1.0" encoding="utf-8"?>
<sst xmlns="http://schemas.openxmlformats.org/spreadsheetml/2006/main" count="32" uniqueCount="16">
  <si>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</si>
  <si>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</si>
  <si>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</si>
  <si>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</si>
  <si>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</si>
  <si>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</si>
  <si>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</si>
  <si>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</si>
  <si>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</si>
  <si>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</si>
  <si>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</si>
  <si>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</si>
  <si>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</si>
  <si>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</si>
  <si>
    <t>4mm PET PIX</t>
  </si>
  <si>
    <t>4mm PMMA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</si>
</sst>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5CA26F3-BBF4-4E4A-A659-EB4BFC4386E9}"/>
            </a:ext>
          </a:extLst>
        </xdr:cNvPr>
        <xdr:cNvSpPr txBox="1"/>
      </xdr:nvSpPr>
      <xdr:spPr>
        <a:xfrm>
          <a:off x="3044825" y="160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35" totalsRowShown="0">
  <autoFilter ref="B5:I35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>
      <calculatedColumnFormula>3.99*$K$5/$L$5</calculatedColumnFormula>
    </tableColumn>
    <tableColumn id="4" xr3:uid="{BDC3ED31-27FD-45EA-8A80-825E39729836}" name="ΔD / mm">
      <calculatedColumnFormula>0.05*Tabelle2[[#This Row],[D / mm]]</calculatedColumnFormula>
    </tableColumn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0EE9F-D6D2-4139-B572-090742664E79}" name="Tabelle22" displayName="Tabelle22" ref="A2:H32" totalsRowShown="0">
  <autoFilter ref="A2:H32" xr:uid="{1800EE9F-D6D2-4139-B572-090742664E79}"/>
  <tableColumns count="8">
    <tableColumn id="18" xr3:uid="{60904070-A574-4A1F-B66B-D1C5FF1F4002}" name="Index (side)"/>
    <tableColumn id="17" xr3:uid="{0910E8A9-3E10-4CF8-B221-4737BFFA06A5}" name="Index (front)"/>
    <tableColumn id="1" xr3:uid="{14D869B9-E815-447F-A4B2-6196B8C48FAE}" name="V / ul"/>
    <tableColumn id="3" xr3:uid="{B55ED6F8-CF60-484E-A693-93E03A3330DE}" name="D / mm" dataDxfId="0">
      <calculatedColumnFormula>ROUND(3.99*$K$2/$L$2,2)</calculatedColumnFormula>
    </tableColumn>
    <tableColumn id="4" xr3:uid="{1A713AFE-0DD0-43E9-B7F6-40605956BCDD}" name="ΔD / mm" dataDxfId="1">
      <calculatedColumnFormula>0.05*Tabelle22[[#This Row],[D / mm]]</calculatedColumnFormula>
    </tableColumn>
    <tableColumn id="5" xr3:uid="{C868BB43-9CE5-4663-A04F-FF2DB07705ED}" name="L / pixel"/>
    <tableColumn id="7" xr3:uid="{26035AAE-4F53-48F8-8768-E3D8C2F8C5AD}" name="x / pixel"/>
    <tableColumn id="9" xr3:uid="{A32C870D-D2C6-44BE-9D5E-3510DC485924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55" zoomScaleNormal="55" workbookViewId="0">
      <selection activeCell="N11" sqref="N11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2" s="3" customFormat="1" x14ac:dyDescent="0.35"/>
    <row r="2" spans="2:12" s="3" customFormat="1" x14ac:dyDescent="0.35"/>
    <row r="3" spans="2:12" s="3" customFormat="1" x14ac:dyDescent="0.35"/>
    <row r="4" spans="2:12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  <c r="K4" s="1" t="s">
        <v>14</v>
      </c>
      <c r="L4" s="1" t="s">
        <v>15</v>
      </c>
    </row>
    <row r="5" spans="2:12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K5">
        <v>349</v>
      </c>
      <c r="L5">
        <v>341</v>
      </c>
    </row>
    <row r="6" spans="2:12" x14ac:dyDescent="0.35">
      <c r="B6">
        <v>0</v>
      </c>
      <c r="C6">
        <v>0</v>
      </c>
      <c r="D6">
        <v>2</v>
      </c>
      <c r="E6">
        <f>3.99*$K$5/$L$5</f>
        <v>4.0836070381231675</v>
      </c>
      <c r="F6">
        <f>0.05*Tabelle2[[#This Row],[D / mm]]</f>
        <v>0.20418035190615838</v>
      </c>
      <c r="G6">
        <v>160</v>
      </c>
      <c r="H6">
        <v>128.4</v>
      </c>
      <c r="I6">
        <v>123</v>
      </c>
    </row>
    <row r="7" spans="2:12" x14ac:dyDescent="0.35">
      <c r="B7">
        <v>1</v>
      </c>
      <c r="C7">
        <v>1</v>
      </c>
      <c r="D7">
        <v>2</v>
      </c>
      <c r="E7">
        <f t="shared" ref="E7:E35" si="0">3.99*$K$5/$L$5</f>
        <v>4.0836070381231675</v>
      </c>
      <c r="F7">
        <f>0.05*Tabelle2[[#This Row],[D / mm]]</f>
        <v>0.20418035190615838</v>
      </c>
      <c r="G7">
        <v>161.5</v>
      </c>
      <c r="H7">
        <v>116.2</v>
      </c>
      <c r="I7">
        <v>123</v>
      </c>
    </row>
    <row r="8" spans="2:12" x14ac:dyDescent="0.35">
      <c r="B8">
        <v>2</v>
      </c>
      <c r="C8">
        <v>2</v>
      </c>
      <c r="D8">
        <v>2</v>
      </c>
      <c r="E8">
        <f t="shared" si="0"/>
        <v>4.0836070381231675</v>
      </c>
      <c r="F8">
        <f>0.05*Tabelle2[[#This Row],[D / mm]]</f>
        <v>0.20418035190615838</v>
      </c>
      <c r="G8">
        <v>192.7</v>
      </c>
      <c r="H8">
        <v>132.30000000000001</v>
      </c>
      <c r="I8">
        <v>123</v>
      </c>
    </row>
    <row r="9" spans="2:12" x14ac:dyDescent="0.35">
      <c r="B9">
        <v>3</v>
      </c>
      <c r="C9">
        <v>3</v>
      </c>
      <c r="D9">
        <v>2</v>
      </c>
      <c r="E9">
        <f t="shared" si="0"/>
        <v>4.0836070381231675</v>
      </c>
      <c r="F9">
        <f>0.05*Tabelle2[[#This Row],[D / mm]]</f>
        <v>0.20418035190615838</v>
      </c>
      <c r="G9">
        <v>174</v>
      </c>
      <c r="H9">
        <v>128.80000000000001</v>
      </c>
      <c r="I9">
        <v>123</v>
      </c>
    </row>
    <row r="10" spans="2:12" x14ac:dyDescent="0.35">
      <c r="B10">
        <v>4</v>
      </c>
      <c r="C10">
        <v>4</v>
      </c>
      <c r="D10">
        <v>2</v>
      </c>
      <c r="E10">
        <f t="shared" si="0"/>
        <v>4.0836070381231675</v>
      </c>
      <c r="F10">
        <f>0.05*Tabelle2[[#This Row],[D / mm]]</f>
        <v>0.20418035190615838</v>
      </c>
      <c r="G10">
        <v>176.7</v>
      </c>
      <c r="H10">
        <v>148.5</v>
      </c>
      <c r="I10">
        <v>123</v>
      </c>
    </row>
    <row r="11" spans="2:12" x14ac:dyDescent="0.35">
      <c r="B11">
        <v>0</v>
      </c>
      <c r="C11">
        <v>0</v>
      </c>
      <c r="D11">
        <v>4</v>
      </c>
      <c r="E11">
        <f t="shared" si="0"/>
        <v>4.0836070381231675</v>
      </c>
      <c r="F11">
        <f>0.05*Tabelle2[[#This Row],[D / mm]]</f>
        <v>0.20418035190615838</v>
      </c>
      <c r="G11">
        <v>191.7</v>
      </c>
      <c r="H11">
        <v>163.69999999999999</v>
      </c>
      <c r="I11">
        <v>123</v>
      </c>
    </row>
    <row r="12" spans="2:12" x14ac:dyDescent="0.35">
      <c r="B12">
        <v>1</v>
      </c>
      <c r="C12">
        <v>1</v>
      </c>
      <c r="D12">
        <v>4</v>
      </c>
      <c r="E12">
        <f t="shared" si="0"/>
        <v>4.0836070381231675</v>
      </c>
      <c r="F12">
        <f>0.05*Tabelle2[[#This Row],[D / mm]]</f>
        <v>0.20418035190615838</v>
      </c>
      <c r="G12">
        <v>197.7</v>
      </c>
      <c r="H12">
        <v>144.6</v>
      </c>
      <c r="I12">
        <v>123</v>
      </c>
    </row>
    <row r="13" spans="2:12" x14ac:dyDescent="0.35">
      <c r="B13">
        <v>2</v>
      </c>
      <c r="C13">
        <v>2</v>
      </c>
      <c r="D13">
        <v>4</v>
      </c>
      <c r="E13">
        <f t="shared" si="0"/>
        <v>4.0836070381231675</v>
      </c>
      <c r="F13">
        <f>0.05*Tabelle2[[#This Row],[D / mm]]</f>
        <v>0.20418035190615838</v>
      </c>
      <c r="G13">
        <v>211.2</v>
      </c>
      <c r="H13">
        <v>169.7</v>
      </c>
      <c r="I13">
        <v>123</v>
      </c>
    </row>
    <row r="14" spans="2:12" x14ac:dyDescent="0.35">
      <c r="B14">
        <v>3</v>
      </c>
      <c r="C14">
        <v>3</v>
      </c>
      <c r="D14">
        <v>4</v>
      </c>
      <c r="E14">
        <f t="shared" si="0"/>
        <v>4.0836070381231675</v>
      </c>
      <c r="F14">
        <f>0.05*Tabelle2[[#This Row],[D / mm]]</f>
        <v>0.20418035190615838</v>
      </c>
      <c r="G14">
        <v>209.7</v>
      </c>
      <c r="H14">
        <v>149.4</v>
      </c>
      <c r="I14">
        <v>123</v>
      </c>
    </row>
    <row r="15" spans="2:12" x14ac:dyDescent="0.35">
      <c r="B15">
        <v>4</v>
      </c>
      <c r="C15">
        <v>4</v>
      </c>
      <c r="D15">
        <v>4</v>
      </c>
      <c r="E15">
        <f t="shared" si="0"/>
        <v>4.0836070381231675</v>
      </c>
      <c r="F15">
        <f>0.05*Tabelle2[[#This Row],[D / mm]]</f>
        <v>0.20418035190615838</v>
      </c>
      <c r="G15">
        <v>199</v>
      </c>
      <c r="H15">
        <v>154</v>
      </c>
      <c r="I15">
        <v>123</v>
      </c>
    </row>
    <row r="16" spans="2:12" x14ac:dyDescent="0.35">
      <c r="B16">
        <v>0</v>
      </c>
      <c r="C16">
        <v>0</v>
      </c>
      <c r="D16">
        <v>6</v>
      </c>
      <c r="E16">
        <f t="shared" si="0"/>
        <v>4.0836070381231675</v>
      </c>
      <c r="F16">
        <f>0.05*Tabelle2[[#This Row],[D / mm]]</f>
        <v>0.20418035190615838</v>
      </c>
      <c r="G16">
        <v>227</v>
      </c>
      <c r="H16">
        <v>186.6</v>
      </c>
      <c r="I16">
        <v>123</v>
      </c>
    </row>
    <row r="17" spans="2:9" x14ac:dyDescent="0.35">
      <c r="B17">
        <v>1</v>
      </c>
      <c r="C17">
        <v>1</v>
      </c>
      <c r="D17">
        <v>6</v>
      </c>
      <c r="E17">
        <f t="shared" si="0"/>
        <v>4.0836070381231675</v>
      </c>
      <c r="F17">
        <f>0.05*Tabelle2[[#This Row],[D / mm]]</f>
        <v>0.20418035190615838</v>
      </c>
      <c r="G17">
        <v>233.5</v>
      </c>
      <c r="H17">
        <v>172.9</v>
      </c>
      <c r="I17">
        <v>123</v>
      </c>
    </row>
    <row r="18" spans="2:9" x14ac:dyDescent="0.35">
      <c r="B18">
        <v>2</v>
      </c>
      <c r="C18">
        <v>2</v>
      </c>
      <c r="D18">
        <v>6</v>
      </c>
      <c r="E18">
        <f t="shared" si="0"/>
        <v>4.0836070381231675</v>
      </c>
      <c r="F18">
        <f>0.05*Tabelle2[[#This Row],[D / mm]]</f>
        <v>0.20418035190615838</v>
      </c>
      <c r="G18">
        <v>242.8</v>
      </c>
      <c r="H18">
        <v>183.7</v>
      </c>
      <c r="I18">
        <v>123</v>
      </c>
    </row>
    <row r="19" spans="2:9" x14ac:dyDescent="0.35">
      <c r="B19">
        <v>3</v>
      </c>
      <c r="C19">
        <v>3</v>
      </c>
      <c r="D19">
        <v>6</v>
      </c>
      <c r="E19">
        <f t="shared" si="0"/>
        <v>4.0836070381231675</v>
      </c>
      <c r="F19">
        <f>0.05*Tabelle2[[#This Row],[D / mm]]</f>
        <v>0.20418035190615838</v>
      </c>
      <c r="G19">
        <v>253</v>
      </c>
      <c r="H19">
        <v>167.7</v>
      </c>
      <c r="I19">
        <v>123</v>
      </c>
    </row>
    <row r="20" spans="2:9" x14ac:dyDescent="0.35">
      <c r="B20">
        <v>4</v>
      </c>
      <c r="C20">
        <v>4</v>
      </c>
      <c r="D20">
        <v>6</v>
      </c>
      <c r="E20">
        <f t="shared" si="0"/>
        <v>4.0836070381231675</v>
      </c>
      <c r="F20">
        <f>0.05*Tabelle2[[#This Row],[D / mm]]</f>
        <v>0.20418035190615838</v>
      </c>
      <c r="G20">
        <v>236</v>
      </c>
      <c r="H20">
        <v>168.3</v>
      </c>
      <c r="I20">
        <v>123</v>
      </c>
    </row>
    <row r="21" spans="2:9" x14ac:dyDescent="0.35">
      <c r="B21">
        <v>0</v>
      </c>
      <c r="C21">
        <v>0</v>
      </c>
      <c r="D21">
        <v>8</v>
      </c>
      <c r="E21">
        <f t="shared" si="0"/>
        <v>4.0836070381231675</v>
      </c>
      <c r="F21">
        <f>0.05*Tabelle2[[#This Row],[D / mm]]</f>
        <v>0.20418035190615838</v>
      </c>
      <c r="G21">
        <v>257</v>
      </c>
      <c r="H21">
        <v>210</v>
      </c>
      <c r="I21">
        <v>123</v>
      </c>
    </row>
    <row r="22" spans="2:9" x14ac:dyDescent="0.35">
      <c r="B22">
        <v>1</v>
      </c>
      <c r="C22">
        <v>1</v>
      </c>
      <c r="D22">
        <v>8</v>
      </c>
      <c r="E22">
        <f t="shared" si="0"/>
        <v>4.0836070381231675</v>
      </c>
      <c r="F22">
        <f>0.05*Tabelle2[[#This Row],[D / mm]]</f>
        <v>0.20418035190615838</v>
      </c>
      <c r="G22">
        <v>263</v>
      </c>
      <c r="H22">
        <v>195.6</v>
      </c>
      <c r="I22">
        <v>123</v>
      </c>
    </row>
    <row r="23" spans="2:9" x14ac:dyDescent="0.35">
      <c r="B23">
        <v>2</v>
      </c>
      <c r="C23">
        <v>2</v>
      </c>
      <c r="D23">
        <v>8</v>
      </c>
      <c r="E23">
        <f t="shared" si="0"/>
        <v>4.0836070381231675</v>
      </c>
      <c r="F23">
        <f>0.05*Tabelle2[[#This Row],[D / mm]]</f>
        <v>0.20418035190615838</v>
      </c>
      <c r="G23">
        <v>260</v>
      </c>
      <c r="H23">
        <v>200</v>
      </c>
      <c r="I23">
        <v>123</v>
      </c>
    </row>
    <row r="24" spans="2:9" x14ac:dyDescent="0.35">
      <c r="B24">
        <v>3</v>
      </c>
      <c r="C24">
        <v>3</v>
      </c>
      <c r="D24">
        <v>8</v>
      </c>
      <c r="E24">
        <f t="shared" si="0"/>
        <v>4.0836070381231675</v>
      </c>
      <c r="F24">
        <f>0.05*Tabelle2[[#This Row],[D / mm]]</f>
        <v>0.20418035190615838</v>
      </c>
      <c r="G24">
        <v>272.5</v>
      </c>
      <c r="H24">
        <v>194.8</v>
      </c>
      <c r="I24">
        <v>123</v>
      </c>
    </row>
    <row r="25" spans="2:9" x14ac:dyDescent="0.35">
      <c r="B25">
        <v>4</v>
      </c>
      <c r="C25">
        <v>4</v>
      </c>
      <c r="D25">
        <v>8</v>
      </c>
      <c r="E25">
        <f t="shared" si="0"/>
        <v>4.0836070381231675</v>
      </c>
      <c r="F25">
        <f>0.05*Tabelle2[[#This Row],[D / mm]]</f>
        <v>0.20418035190615838</v>
      </c>
      <c r="G25">
        <v>245.5</v>
      </c>
      <c r="H25">
        <v>178.1</v>
      </c>
      <c r="I25">
        <v>123</v>
      </c>
    </row>
    <row r="26" spans="2:9" x14ac:dyDescent="0.35">
      <c r="B26">
        <v>0</v>
      </c>
      <c r="C26">
        <v>0</v>
      </c>
      <c r="D26">
        <v>10</v>
      </c>
      <c r="E26">
        <f t="shared" si="0"/>
        <v>4.0836070381231675</v>
      </c>
      <c r="F26">
        <f>0.05*Tabelle2[[#This Row],[D / mm]]</f>
        <v>0.20418035190615838</v>
      </c>
      <c r="G26">
        <v>278.5</v>
      </c>
      <c r="H26">
        <v>228.2</v>
      </c>
      <c r="I26">
        <v>123</v>
      </c>
    </row>
    <row r="27" spans="2:9" x14ac:dyDescent="0.35">
      <c r="B27">
        <v>1</v>
      </c>
      <c r="C27">
        <v>1</v>
      </c>
      <c r="D27">
        <v>10</v>
      </c>
      <c r="E27">
        <f t="shared" si="0"/>
        <v>4.0836070381231675</v>
      </c>
      <c r="F27">
        <f>0.05*Tabelle2[[#This Row],[D / mm]]</f>
        <v>0.20418035190615838</v>
      </c>
      <c r="G27">
        <v>282.5</v>
      </c>
      <c r="H27">
        <v>212.3</v>
      </c>
      <c r="I27">
        <v>123</v>
      </c>
    </row>
    <row r="28" spans="2:9" x14ac:dyDescent="0.35">
      <c r="B28">
        <v>2</v>
      </c>
      <c r="C28">
        <v>2</v>
      </c>
      <c r="D28">
        <v>10</v>
      </c>
      <c r="E28">
        <f t="shared" si="0"/>
        <v>4.0836070381231675</v>
      </c>
      <c r="F28">
        <f>0.05*Tabelle2[[#This Row],[D / mm]]</f>
        <v>0.20418035190615838</v>
      </c>
      <c r="G28">
        <v>274</v>
      </c>
      <c r="H28">
        <v>235.2</v>
      </c>
      <c r="I28">
        <v>123</v>
      </c>
    </row>
    <row r="29" spans="2:9" x14ac:dyDescent="0.35">
      <c r="B29">
        <v>3</v>
      </c>
      <c r="C29">
        <v>3</v>
      </c>
      <c r="D29">
        <v>10</v>
      </c>
      <c r="E29">
        <f t="shared" si="0"/>
        <v>4.0836070381231675</v>
      </c>
      <c r="F29">
        <f>0.05*Tabelle2[[#This Row],[D / mm]]</f>
        <v>0.20418035190615838</v>
      </c>
      <c r="G29">
        <v>285</v>
      </c>
      <c r="H29">
        <v>215.3</v>
      </c>
      <c r="I29">
        <v>123</v>
      </c>
    </row>
    <row r="30" spans="2:9" x14ac:dyDescent="0.35">
      <c r="B30">
        <v>4</v>
      </c>
      <c r="C30">
        <v>4</v>
      </c>
      <c r="D30">
        <v>10</v>
      </c>
      <c r="E30">
        <f t="shared" si="0"/>
        <v>4.0836070381231675</v>
      </c>
      <c r="F30">
        <f>0.05*Tabelle2[[#This Row],[D / mm]]</f>
        <v>0.20418035190615838</v>
      </c>
      <c r="G30">
        <v>262.5</v>
      </c>
      <c r="H30">
        <v>196.6</v>
      </c>
      <c r="I30">
        <v>123</v>
      </c>
    </row>
    <row r="31" spans="2:9" x14ac:dyDescent="0.35">
      <c r="B31">
        <v>0</v>
      </c>
      <c r="C31">
        <v>0</v>
      </c>
      <c r="D31">
        <v>12</v>
      </c>
      <c r="E31">
        <f t="shared" si="0"/>
        <v>4.0836070381231675</v>
      </c>
      <c r="F31">
        <f>0.05*Tabelle2[[#This Row],[D / mm]]</f>
        <v>0.20418035190615838</v>
      </c>
      <c r="G31">
        <v>288</v>
      </c>
      <c r="I31">
        <v>123</v>
      </c>
    </row>
    <row r="32" spans="2:9" x14ac:dyDescent="0.35">
      <c r="B32">
        <v>1</v>
      </c>
      <c r="C32">
        <v>1</v>
      </c>
      <c r="D32">
        <v>12</v>
      </c>
      <c r="E32">
        <f t="shared" si="0"/>
        <v>4.0836070381231675</v>
      </c>
      <c r="F32">
        <f>0.05*Tabelle2[[#This Row],[D / mm]]</f>
        <v>0.20418035190615838</v>
      </c>
      <c r="G32">
        <v>291</v>
      </c>
      <c r="H32">
        <v>217.1</v>
      </c>
      <c r="I32">
        <v>123</v>
      </c>
    </row>
    <row r="33" spans="2:9" x14ac:dyDescent="0.35">
      <c r="B33">
        <v>2</v>
      </c>
      <c r="C33">
        <v>2</v>
      </c>
      <c r="D33">
        <v>12</v>
      </c>
      <c r="E33">
        <f t="shared" si="0"/>
        <v>4.0836070381231675</v>
      </c>
      <c r="F33">
        <f>0.05*Tabelle2[[#This Row],[D / mm]]</f>
        <v>0.20418035190615838</v>
      </c>
      <c r="G33">
        <v>297</v>
      </c>
      <c r="H33">
        <v>267.60000000000002</v>
      </c>
      <c r="I33">
        <v>123</v>
      </c>
    </row>
    <row r="34" spans="2:9" x14ac:dyDescent="0.35">
      <c r="B34">
        <v>3</v>
      </c>
      <c r="C34">
        <v>3</v>
      </c>
      <c r="D34">
        <v>12</v>
      </c>
      <c r="E34">
        <f t="shared" si="0"/>
        <v>4.0836070381231675</v>
      </c>
      <c r="F34">
        <f>0.05*Tabelle2[[#This Row],[D / mm]]</f>
        <v>0.20418035190615838</v>
      </c>
      <c r="G34">
        <v>301</v>
      </c>
      <c r="H34">
        <v>234.3</v>
      </c>
      <c r="I34">
        <v>123</v>
      </c>
    </row>
    <row r="35" spans="2:9" x14ac:dyDescent="0.35">
      <c r="B35">
        <v>4</v>
      </c>
      <c r="C35">
        <v>4</v>
      </c>
      <c r="D35">
        <v>12</v>
      </c>
      <c r="E35">
        <f t="shared" si="0"/>
        <v>4.0836070381231675</v>
      </c>
      <c r="F35">
        <f>0.05*Tabelle2[[#This Row],[D / mm]]</f>
        <v>0.20418035190615838</v>
      </c>
      <c r="G35">
        <v>285</v>
      </c>
      <c r="H35">
        <v>212.1</v>
      </c>
      <c r="I35">
        <v>123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L32"/>
  <sheetViews>
    <sheetView tabSelected="1" zoomScale="70" zoomScaleNormal="70" workbookViewId="0">
      <selection activeCell="K10" sqref="K10"/>
    </sheetView>
  </sheetViews>
  <sheetFormatPr baseColWidth="10" defaultRowHeight="14.5" x14ac:dyDescent="0.35"/>
  <cols>
    <col min="11" max="11" width="11.81640625" bestFit="1" customWidth="1"/>
    <col min="12" max="12" width="14.54296875" bestFit="1" customWidth="1"/>
  </cols>
  <sheetData>
    <row r="1" spans="1:12" x14ac:dyDescent="0.35">
      <c r="A1" s="1" t="s">
        <v>13</v>
      </c>
      <c r="B1" s="1"/>
      <c r="C1" s="2" t="s">
        <v>0</v>
      </c>
      <c r="D1" s="1" t="s">
        <v>2</v>
      </c>
      <c r="E1" s="1"/>
      <c r="F1" s="1" t="s">
        <v>10</v>
      </c>
      <c r="G1" s="1" t="s">
        <v>11</v>
      </c>
      <c r="H1" s="1" t="s">
        <v>12</v>
      </c>
      <c r="K1" s="1" t="s">
        <v>14</v>
      </c>
      <c r="L1" s="1" t="s">
        <v>15</v>
      </c>
    </row>
    <row r="2" spans="1:12" x14ac:dyDescent="0.35">
      <c r="A2" t="s">
        <v>8</v>
      </c>
      <c r="B2" t="s">
        <v>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>
        <v>349</v>
      </c>
      <c r="L2">
        <v>341</v>
      </c>
    </row>
    <row r="3" spans="1:12" x14ac:dyDescent="0.35">
      <c r="A3">
        <v>0</v>
      </c>
      <c r="B3">
        <v>0</v>
      </c>
      <c r="C3">
        <v>2</v>
      </c>
      <c r="D3">
        <f t="shared" ref="D3:D32" si="0">ROUND(3.99*$K$2/$L$2,2)</f>
        <v>4.08</v>
      </c>
      <c r="E3">
        <f>0.05*Tabelle22[[#This Row],[D / mm]]</f>
        <v>0.20400000000000001</v>
      </c>
      <c r="F3">
        <v>160</v>
      </c>
      <c r="G3">
        <v>128.4</v>
      </c>
      <c r="H3">
        <v>123</v>
      </c>
    </row>
    <row r="4" spans="1:12" x14ac:dyDescent="0.35">
      <c r="A4">
        <v>1</v>
      </c>
      <c r="B4">
        <v>1</v>
      </c>
      <c r="C4">
        <v>2</v>
      </c>
      <c r="D4">
        <f t="shared" si="0"/>
        <v>4.08</v>
      </c>
      <c r="E4">
        <f>0.05*Tabelle22[[#This Row],[D / mm]]</f>
        <v>0.20400000000000001</v>
      </c>
      <c r="F4">
        <v>161.5</v>
      </c>
      <c r="G4">
        <v>116.2</v>
      </c>
      <c r="H4">
        <v>123</v>
      </c>
    </row>
    <row r="5" spans="1:12" x14ac:dyDescent="0.35">
      <c r="A5">
        <v>2</v>
      </c>
      <c r="B5">
        <v>2</v>
      </c>
      <c r="C5">
        <v>2</v>
      </c>
      <c r="D5">
        <f t="shared" si="0"/>
        <v>4.08</v>
      </c>
      <c r="E5">
        <f>0.05*Tabelle22[[#This Row],[D / mm]]</f>
        <v>0.20400000000000001</v>
      </c>
      <c r="F5">
        <v>192.7</v>
      </c>
      <c r="G5">
        <v>132.30000000000001</v>
      </c>
      <c r="H5">
        <v>123</v>
      </c>
    </row>
    <row r="6" spans="1:12" x14ac:dyDescent="0.35">
      <c r="A6">
        <v>3</v>
      </c>
      <c r="B6">
        <v>3</v>
      </c>
      <c r="C6">
        <v>2</v>
      </c>
      <c r="D6">
        <f t="shared" si="0"/>
        <v>4.08</v>
      </c>
      <c r="E6">
        <f>0.05*Tabelle22[[#This Row],[D / mm]]</f>
        <v>0.20400000000000001</v>
      </c>
      <c r="F6">
        <v>174</v>
      </c>
      <c r="G6">
        <v>128.80000000000001</v>
      </c>
      <c r="H6">
        <v>123</v>
      </c>
    </row>
    <row r="7" spans="1:12" x14ac:dyDescent="0.35">
      <c r="A7">
        <v>4</v>
      </c>
      <c r="B7">
        <v>4</v>
      </c>
      <c r="C7">
        <v>2</v>
      </c>
      <c r="D7">
        <f t="shared" si="0"/>
        <v>4.08</v>
      </c>
      <c r="E7">
        <f>0.05*Tabelle22[[#This Row],[D / mm]]</f>
        <v>0.20400000000000001</v>
      </c>
      <c r="F7">
        <v>176.7</v>
      </c>
      <c r="G7">
        <v>148.5</v>
      </c>
      <c r="H7">
        <v>123</v>
      </c>
    </row>
    <row r="8" spans="1:12" x14ac:dyDescent="0.35">
      <c r="A8">
        <v>0</v>
      </c>
      <c r="B8">
        <v>0</v>
      </c>
      <c r="C8">
        <v>4</v>
      </c>
      <c r="D8">
        <f t="shared" si="0"/>
        <v>4.08</v>
      </c>
      <c r="E8">
        <f>0.05*Tabelle22[[#This Row],[D / mm]]</f>
        <v>0.20400000000000001</v>
      </c>
      <c r="F8">
        <v>191.7</v>
      </c>
      <c r="G8">
        <v>163.69999999999999</v>
      </c>
      <c r="H8">
        <v>123</v>
      </c>
    </row>
    <row r="9" spans="1:12" x14ac:dyDescent="0.35">
      <c r="A9">
        <v>1</v>
      </c>
      <c r="B9">
        <v>1</v>
      </c>
      <c r="C9">
        <v>4</v>
      </c>
      <c r="D9">
        <f t="shared" si="0"/>
        <v>4.08</v>
      </c>
      <c r="E9">
        <f>0.05*Tabelle22[[#This Row],[D / mm]]</f>
        <v>0.20400000000000001</v>
      </c>
      <c r="F9">
        <v>197.7</v>
      </c>
      <c r="G9">
        <v>144.6</v>
      </c>
      <c r="H9">
        <v>123</v>
      </c>
    </row>
    <row r="10" spans="1:12" x14ac:dyDescent="0.35">
      <c r="A10">
        <v>2</v>
      </c>
      <c r="B10">
        <v>2</v>
      </c>
      <c r="C10">
        <v>4</v>
      </c>
      <c r="D10">
        <f t="shared" si="0"/>
        <v>4.08</v>
      </c>
      <c r="E10">
        <f>0.05*Tabelle22[[#This Row],[D / mm]]</f>
        <v>0.20400000000000001</v>
      </c>
      <c r="F10">
        <v>211.2</v>
      </c>
      <c r="G10">
        <v>169.7</v>
      </c>
      <c r="H10">
        <v>123</v>
      </c>
    </row>
    <row r="11" spans="1:12" x14ac:dyDescent="0.35">
      <c r="A11">
        <v>3</v>
      </c>
      <c r="B11">
        <v>3</v>
      </c>
      <c r="C11">
        <v>4</v>
      </c>
      <c r="D11">
        <f t="shared" si="0"/>
        <v>4.08</v>
      </c>
      <c r="E11">
        <f>0.05*Tabelle22[[#This Row],[D / mm]]</f>
        <v>0.20400000000000001</v>
      </c>
      <c r="F11">
        <v>209.7</v>
      </c>
      <c r="G11">
        <v>149.4</v>
      </c>
      <c r="H11">
        <v>123</v>
      </c>
    </row>
    <row r="12" spans="1:12" x14ac:dyDescent="0.35">
      <c r="A12">
        <v>4</v>
      </c>
      <c r="B12">
        <v>4</v>
      </c>
      <c r="C12">
        <v>4</v>
      </c>
      <c r="D12">
        <f t="shared" si="0"/>
        <v>4.08</v>
      </c>
      <c r="E12">
        <f>0.05*Tabelle22[[#This Row],[D / mm]]</f>
        <v>0.20400000000000001</v>
      </c>
      <c r="F12">
        <v>199</v>
      </c>
      <c r="G12">
        <v>154</v>
      </c>
      <c r="H12">
        <v>123</v>
      </c>
    </row>
    <row r="13" spans="1:12" x14ac:dyDescent="0.35">
      <c r="A13">
        <v>0</v>
      </c>
      <c r="B13">
        <v>0</v>
      </c>
      <c r="C13">
        <v>6</v>
      </c>
      <c r="D13">
        <f t="shared" si="0"/>
        <v>4.08</v>
      </c>
      <c r="E13">
        <f>0.05*Tabelle22[[#This Row],[D / mm]]</f>
        <v>0.20400000000000001</v>
      </c>
      <c r="F13">
        <v>227</v>
      </c>
      <c r="G13">
        <v>186.6</v>
      </c>
      <c r="H13">
        <v>123</v>
      </c>
    </row>
    <row r="14" spans="1:12" x14ac:dyDescent="0.35">
      <c r="A14">
        <v>1</v>
      </c>
      <c r="B14">
        <v>1</v>
      </c>
      <c r="C14">
        <v>6</v>
      </c>
      <c r="D14">
        <f t="shared" si="0"/>
        <v>4.08</v>
      </c>
      <c r="E14">
        <f>0.05*Tabelle22[[#This Row],[D / mm]]</f>
        <v>0.20400000000000001</v>
      </c>
      <c r="F14">
        <v>233.5</v>
      </c>
      <c r="G14">
        <v>172.9</v>
      </c>
      <c r="H14">
        <v>123</v>
      </c>
    </row>
    <row r="15" spans="1:12" x14ac:dyDescent="0.35">
      <c r="A15">
        <v>2</v>
      </c>
      <c r="B15">
        <v>2</v>
      </c>
      <c r="C15">
        <v>6</v>
      </c>
      <c r="D15">
        <f t="shared" si="0"/>
        <v>4.08</v>
      </c>
      <c r="E15">
        <f>0.05*Tabelle22[[#This Row],[D / mm]]</f>
        <v>0.20400000000000001</v>
      </c>
      <c r="F15">
        <v>242.8</v>
      </c>
      <c r="G15">
        <v>183.7</v>
      </c>
      <c r="H15">
        <v>123</v>
      </c>
    </row>
    <row r="16" spans="1:12" x14ac:dyDescent="0.35">
      <c r="A16">
        <v>3</v>
      </c>
      <c r="B16">
        <v>3</v>
      </c>
      <c r="C16">
        <v>6</v>
      </c>
      <c r="D16">
        <f t="shared" si="0"/>
        <v>4.08</v>
      </c>
      <c r="E16">
        <f>0.05*Tabelle22[[#This Row],[D / mm]]</f>
        <v>0.20400000000000001</v>
      </c>
      <c r="F16">
        <v>253</v>
      </c>
      <c r="G16">
        <v>167.7</v>
      </c>
      <c r="H16">
        <v>123</v>
      </c>
    </row>
    <row r="17" spans="1:8" x14ac:dyDescent="0.35">
      <c r="A17">
        <v>4</v>
      </c>
      <c r="B17">
        <v>4</v>
      </c>
      <c r="C17">
        <v>6</v>
      </c>
      <c r="D17">
        <f t="shared" si="0"/>
        <v>4.08</v>
      </c>
      <c r="E17">
        <f>0.05*Tabelle22[[#This Row],[D / mm]]</f>
        <v>0.20400000000000001</v>
      </c>
      <c r="F17">
        <v>236</v>
      </c>
      <c r="G17">
        <v>168.3</v>
      </c>
      <c r="H17">
        <v>123</v>
      </c>
    </row>
    <row r="18" spans="1:8" x14ac:dyDescent="0.35">
      <c r="A18">
        <v>0</v>
      </c>
      <c r="B18">
        <v>0</v>
      </c>
      <c r="C18">
        <v>8</v>
      </c>
      <c r="D18">
        <f t="shared" si="0"/>
        <v>4.08</v>
      </c>
      <c r="E18">
        <f>0.05*Tabelle22[[#This Row],[D / mm]]</f>
        <v>0.20400000000000001</v>
      </c>
      <c r="F18">
        <v>257</v>
      </c>
      <c r="G18">
        <v>210</v>
      </c>
      <c r="H18">
        <v>123</v>
      </c>
    </row>
    <row r="19" spans="1:8" x14ac:dyDescent="0.35">
      <c r="A19">
        <v>1</v>
      </c>
      <c r="B19">
        <v>1</v>
      </c>
      <c r="C19">
        <v>8</v>
      </c>
      <c r="D19">
        <f t="shared" si="0"/>
        <v>4.08</v>
      </c>
      <c r="E19">
        <f>0.05*Tabelle22[[#This Row],[D / mm]]</f>
        <v>0.20400000000000001</v>
      </c>
      <c r="F19">
        <v>263</v>
      </c>
      <c r="G19">
        <v>195.6</v>
      </c>
      <c r="H19">
        <v>123</v>
      </c>
    </row>
    <row r="20" spans="1:8" x14ac:dyDescent="0.35">
      <c r="A20">
        <v>2</v>
      </c>
      <c r="B20">
        <v>2</v>
      </c>
      <c r="C20">
        <v>8</v>
      </c>
      <c r="D20">
        <f t="shared" si="0"/>
        <v>4.08</v>
      </c>
      <c r="E20">
        <f>0.05*Tabelle22[[#This Row],[D / mm]]</f>
        <v>0.20400000000000001</v>
      </c>
      <c r="F20">
        <v>260</v>
      </c>
      <c r="G20">
        <v>200</v>
      </c>
      <c r="H20">
        <v>123</v>
      </c>
    </row>
    <row r="21" spans="1:8" x14ac:dyDescent="0.35">
      <c r="A21">
        <v>3</v>
      </c>
      <c r="B21">
        <v>3</v>
      </c>
      <c r="C21">
        <v>8</v>
      </c>
      <c r="D21">
        <f t="shared" si="0"/>
        <v>4.08</v>
      </c>
      <c r="E21">
        <f>0.05*Tabelle22[[#This Row],[D / mm]]</f>
        <v>0.20400000000000001</v>
      </c>
      <c r="F21">
        <v>272.5</v>
      </c>
      <c r="G21">
        <v>194.8</v>
      </c>
      <c r="H21">
        <v>123</v>
      </c>
    </row>
    <row r="22" spans="1:8" x14ac:dyDescent="0.35">
      <c r="A22">
        <v>4</v>
      </c>
      <c r="B22">
        <v>4</v>
      </c>
      <c r="C22">
        <v>8</v>
      </c>
      <c r="D22">
        <f t="shared" si="0"/>
        <v>4.08</v>
      </c>
      <c r="E22">
        <f>0.05*Tabelle22[[#This Row],[D / mm]]</f>
        <v>0.20400000000000001</v>
      </c>
      <c r="F22">
        <v>245.5</v>
      </c>
      <c r="G22">
        <v>178.1</v>
      </c>
      <c r="H22">
        <v>123</v>
      </c>
    </row>
    <row r="23" spans="1:8" x14ac:dyDescent="0.35">
      <c r="A23">
        <v>0</v>
      </c>
      <c r="B23">
        <v>0</v>
      </c>
      <c r="C23">
        <v>10</v>
      </c>
      <c r="D23">
        <f t="shared" si="0"/>
        <v>4.08</v>
      </c>
      <c r="E23">
        <f>0.05*Tabelle22[[#This Row],[D / mm]]</f>
        <v>0.20400000000000001</v>
      </c>
      <c r="F23">
        <v>278.5</v>
      </c>
      <c r="G23">
        <v>228.2</v>
      </c>
      <c r="H23">
        <v>123</v>
      </c>
    </row>
    <row r="24" spans="1:8" x14ac:dyDescent="0.35">
      <c r="A24">
        <v>1</v>
      </c>
      <c r="B24">
        <v>1</v>
      </c>
      <c r="C24">
        <v>10</v>
      </c>
      <c r="D24">
        <f t="shared" si="0"/>
        <v>4.08</v>
      </c>
      <c r="E24">
        <f>0.05*Tabelle22[[#This Row],[D / mm]]</f>
        <v>0.20400000000000001</v>
      </c>
      <c r="F24">
        <v>282.5</v>
      </c>
      <c r="G24">
        <v>212.3</v>
      </c>
      <c r="H24">
        <v>123</v>
      </c>
    </row>
    <row r="25" spans="1:8" x14ac:dyDescent="0.35">
      <c r="A25">
        <v>2</v>
      </c>
      <c r="B25">
        <v>2</v>
      </c>
      <c r="C25">
        <v>10</v>
      </c>
      <c r="D25">
        <f t="shared" si="0"/>
        <v>4.08</v>
      </c>
      <c r="E25">
        <f>0.05*Tabelle22[[#This Row],[D / mm]]</f>
        <v>0.20400000000000001</v>
      </c>
      <c r="F25">
        <v>274</v>
      </c>
      <c r="G25">
        <v>235.2</v>
      </c>
      <c r="H25">
        <v>123</v>
      </c>
    </row>
    <row r="26" spans="1:8" x14ac:dyDescent="0.35">
      <c r="A26">
        <v>3</v>
      </c>
      <c r="B26">
        <v>3</v>
      </c>
      <c r="C26">
        <v>10</v>
      </c>
      <c r="D26">
        <f t="shared" si="0"/>
        <v>4.08</v>
      </c>
      <c r="E26">
        <f>0.05*Tabelle22[[#This Row],[D / mm]]</f>
        <v>0.20400000000000001</v>
      </c>
      <c r="F26">
        <v>285</v>
      </c>
      <c r="G26">
        <v>215.3</v>
      </c>
      <c r="H26">
        <v>123</v>
      </c>
    </row>
    <row r="27" spans="1:8" x14ac:dyDescent="0.35">
      <c r="A27">
        <v>4</v>
      </c>
      <c r="B27">
        <v>4</v>
      </c>
      <c r="C27">
        <v>10</v>
      </c>
      <c r="D27">
        <f t="shared" si="0"/>
        <v>4.08</v>
      </c>
      <c r="E27">
        <f>0.05*Tabelle22[[#This Row],[D / mm]]</f>
        <v>0.20400000000000001</v>
      </c>
      <c r="F27">
        <v>262.5</v>
      </c>
      <c r="G27">
        <v>196.6</v>
      </c>
      <c r="H27">
        <v>123</v>
      </c>
    </row>
    <row r="28" spans="1:8" x14ac:dyDescent="0.35">
      <c r="A28">
        <v>0</v>
      </c>
      <c r="B28">
        <v>0</v>
      </c>
      <c r="C28">
        <v>12</v>
      </c>
      <c r="D28">
        <f t="shared" si="0"/>
        <v>4.08</v>
      </c>
      <c r="E28">
        <f>0.05*Tabelle22[[#This Row],[D / mm]]</f>
        <v>0.20400000000000001</v>
      </c>
      <c r="F28">
        <v>288</v>
      </c>
      <c r="H28">
        <v>123</v>
      </c>
    </row>
    <row r="29" spans="1:8" x14ac:dyDescent="0.35">
      <c r="A29">
        <v>1</v>
      </c>
      <c r="B29">
        <v>1</v>
      </c>
      <c r="C29">
        <v>12</v>
      </c>
      <c r="D29">
        <f t="shared" si="0"/>
        <v>4.08</v>
      </c>
      <c r="E29">
        <f>0.05*Tabelle22[[#This Row],[D / mm]]</f>
        <v>0.20400000000000001</v>
      </c>
      <c r="F29">
        <v>291</v>
      </c>
      <c r="G29">
        <v>217.1</v>
      </c>
      <c r="H29">
        <v>123</v>
      </c>
    </row>
    <row r="30" spans="1:8" x14ac:dyDescent="0.35">
      <c r="A30">
        <v>2</v>
      </c>
      <c r="B30">
        <v>2</v>
      </c>
      <c r="C30">
        <v>12</v>
      </c>
      <c r="D30">
        <f t="shared" si="0"/>
        <v>4.08</v>
      </c>
      <c r="E30">
        <f>0.05*Tabelle22[[#This Row],[D / mm]]</f>
        <v>0.20400000000000001</v>
      </c>
      <c r="F30">
        <v>297</v>
      </c>
      <c r="G30">
        <v>267.60000000000002</v>
      </c>
      <c r="H30">
        <v>123</v>
      </c>
    </row>
    <row r="31" spans="1:8" x14ac:dyDescent="0.35">
      <c r="A31">
        <v>3</v>
      </c>
      <c r="B31">
        <v>3</v>
      </c>
      <c r="C31">
        <v>12</v>
      </c>
      <c r="D31">
        <f t="shared" si="0"/>
        <v>4.08</v>
      </c>
      <c r="E31">
        <f>0.05*Tabelle22[[#This Row],[D / mm]]</f>
        <v>0.20400000000000001</v>
      </c>
      <c r="F31">
        <v>301</v>
      </c>
      <c r="G31">
        <v>234.3</v>
      </c>
      <c r="H31">
        <v>123</v>
      </c>
    </row>
    <row r="32" spans="1:8" x14ac:dyDescent="0.35">
      <c r="A32">
        <v>4</v>
      </c>
      <c r="B32">
        <v>4</v>
      </c>
      <c r="C32">
        <v>12</v>
      </c>
      <c r="D32">
        <f t="shared" si="0"/>
        <v>4.08</v>
      </c>
      <c r="E32">
        <f>0.05*Tabelle22[[#This Row],[D / mm]]</f>
        <v>0.20400000000000001</v>
      </c>
      <c r="F32">
        <v>285</v>
      </c>
      <c r="G32">
        <v>212.1</v>
      </c>
      <c r="H32">
        <v>123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2026-09-14T06:19:40Z</dcterms:modified>
</cp:coreProperties>
</file>